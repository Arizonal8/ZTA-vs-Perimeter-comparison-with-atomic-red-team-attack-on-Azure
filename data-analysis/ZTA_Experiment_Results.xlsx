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Experiment Data" sheetId="1" state="visible" r:id="rId3"/>
    <sheet name="Summary Analysis" sheetId="2" state="visible" r:id="rId4"/>
    <sheet name="ZTA vs Conventional" sheetId="3" state="visible" r:id="rId5"/>
    <sheet name="ZTA Controls Appli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<sst xmlns="http://schemas.openxmlformats.org/spreadsheetml/2006/main" count="393" uniqueCount="166">
  <si>
    <t xml:space="preserve">ZTA vs Conventional Azure — MITRE ATT&amp;CK Experiment Results</t>
  </si>
  <si>
    <t xml:space="preserve">Sheffield Hallam University · Research Methods and Strategies (55-710260) · June 2026</t>
  </si>
  <si>
    <t xml:space="preserve">Date &amp; Time</t>
  </si>
  <si>
    <t xml:space="preserve">Environment</t>
  </si>
  <si>
    <t xml:space="preserve">Attack Category</t>
  </si>
  <si>
    <t xml:space="preserve">ATT&amp;CK ID</t>
  </si>
  <si>
    <t xml:space="preserve">Run No.</t>
  </si>
  <si>
    <t xml:space="preserve">Outcome</t>
  </si>
  <si>
    <t xml:space="preserve">Start Time</t>
  </si>
  <si>
    <t xml:space="preserve">End Time</t>
  </si>
  <si>
    <t xml:space="preserve">Duration (s)</t>
  </si>
  <si>
    <t xml:space="preserve">Total Alerts</t>
  </si>
  <si>
    <t xml:space="preserve">False Positives</t>
  </si>
  <si>
    <t xml:space="preserve">Notes</t>
  </si>
  <si>
    <t xml:space="preserve">16/06/2026</t>
  </si>
  <si>
    <t xml:space="preserve">Conventional</t>
  </si>
  <si>
    <t xml:space="preserve">Credential Theft</t>
  </si>
  <si>
    <t xml:space="preserve">T1110.001</t>
  </si>
  <si>
    <t xml:space="preserve">All Attempts Failed</t>
  </si>
  <si>
    <t xml:space="preserve">19:08:02</t>
  </si>
  <si>
    <t xml:space="preserve">19:08:03</t>
  </si>
  <si>
    <t xml:space="preserve">7 passwords tried; none matched; conventional DC accessible via net use</t>
  </si>
  <si>
    <t xml:space="preserve">19:08:34</t>
  </si>
  <si>
    <t xml:space="preserve">19:09:14</t>
  </si>
  <si>
    <t xml:space="preserve">19:09:15</t>
  </si>
  <si>
    <t xml:space="preserve">ZTA</t>
  </si>
  <si>
    <t xml:space="preserve">19:11:14</t>
  </si>
  <si>
    <t xml:space="preserve">19:11:37</t>
  </si>
  <si>
    <t xml:space="preserve">23-second delay observed; NSG/JIT slowing connection attempts</t>
  </si>
  <si>
    <t xml:space="preserve">19:12:49</t>
  </si>
  <si>
    <t xml:space="preserve">19:13:12</t>
  </si>
  <si>
    <t xml:space="preserve">19:13:38</t>
  </si>
  <si>
    <t xml:space="preserve">Lateral Movement</t>
  </si>
  <si>
    <t xml:space="preserve">T1021.002</t>
  </si>
  <si>
    <t xml:space="preserve">Succeeded</t>
  </si>
  <si>
    <t xml:space="preserve">19:25:49</t>
  </si>
  <si>
    <t xml:space="preserve">SMB share HR_Records accessed with domain credentials</t>
  </si>
  <si>
    <t xml:space="preserve">19:26:04</t>
  </si>
  <si>
    <t xml:space="preserve">19:26:14</t>
  </si>
  <si>
    <t xml:space="preserve">Blocked</t>
  </si>
  <si>
    <t xml:space="preserve">19:26:31</t>
  </si>
  <si>
    <t xml:space="preserve">19:26:53</t>
  </si>
  <si>
    <t xml:space="preserve">Error 53 – network path not found; NSG block-attacker-to-fs rule active</t>
  </si>
  <si>
    <t xml:space="preserve">19:28:22</t>
  </si>
  <si>
    <t xml:space="preserve">19:28:45</t>
  </si>
  <si>
    <t xml:space="preserve">19:28:49</t>
  </si>
  <si>
    <t xml:space="preserve">Data Exfiltration</t>
  </si>
  <si>
    <t xml:space="preserve">T1041</t>
  </si>
  <si>
    <t xml:space="preserve">19:31:32</t>
  </si>
  <si>
    <t xml:space="preserve">document_1.txt copied to attacker VM; File exfiltrated: True</t>
  </si>
  <si>
    <t xml:space="preserve">19:31:45</t>
  </si>
  <si>
    <t xml:space="preserve">19:31:55</t>
  </si>
  <si>
    <t xml:space="preserve">19:33:04</t>
  </si>
  <si>
    <t xml:space="preserve">19:33:26</t>
  </si>
  <si>
    <t xml:space="preserve">Cannot find path – NSG blocking attacker from reaching file server port 445</t>
  </si>
  <si>
    <t xml:space="preserve">19:33:36</t>
  </si>
  <si>
    <t xml:space="preserve">19:33:47</t>
  </si>
  <si>
    <t xml:space="preserve">Privilege Escalation</t>
  </si>
  <si>
    <t xml:space="preserve">T1078</t>
  </si>
  <si>
    <t xml:space="preserve">19:36:14</t>
  </si>
  <si>
    <t xml:space="preserve">ADMIN$ share accessed with adminuser01 credentials; no PIM protection</t>
  </si>
  <si>
    <t xml:space="preserve">19:36:24</t>
  </si>
  <si>
    <t xml:space="preserve">19:36:34</t>
  </si>
  <si>
    <t xml:space="preserve">19:37:41</t>
  </si>
  <si>
    <t xml:space="preserve">19:38:03</t>
  </si>
  <si>
    <t xml:space="preserve">Error 64/53 – network name unavailable; JIT and NSG preventing access</t>
  </si>
  <si>
    <t xml:space="preserve">19:38:17</t>
  </si>
  <si>
    <t xml:space="preserve">19:38:27</t>
  </si>
  <si>
    <t xml:space="preserve">Misconfiguration Exploit</t>
  </si>
  <si>
    <t xml:space="preserve">T1190</t>
  </si>
  <si>
    <t xml:space="preserve">20:17:05</t>
  </si>
  <si>
    <t xml:space="preserve">HTTP 200 returned; CONFIDENTIAL DUMMY DATA visible with no credentials</t>
  </si>
  <si>
    <t xml:space="preserve">20:19:11</t>
  </si>
  <si>
    <t xml:space="preserve">20:19:32</t>
  </si>
  <si>
    <t xml:space="preserve">20:18:06</t>
  </si>
  <si>
    <t xml:space="preserve">AuthorizationFailure – public network access disabled; private endpoint enforced</t>
  </si>
  <si>
    <t xml:space="preserve">20:19:53</t>
  </si>
  <si>
    <t xml:space="preserve">20:20:44</t>
  </si>
  <si>
    <t xml:space="preserve">Attack Outcome Summary — ZTA vs Conventional</t>
  </si>
  <si>
    <t xml:space="preserve">SECTION 1 — ATTACK SUCCESS RATE BY CATEGORY</t>
  </si>
  <si>
    <t xml:space="preserve">Conv Successes</t>
  </si>
  <si>
    <t xml:space="preserve">Conv Attempts</t>
  </si>
  <si>
    <t xml:space="preserve">Conv Success %</t>
  </si>
  <si>
    <t xml:space="preserve">ZTA Successes</t>
  </si>
  <si>
    <t xml:space="preserve">ZTA Attempts</t>
  </si>
  <si>
    <t xml:space="preserve">ZTA Success %</t>
  </si>
  <si>
    <t xml:space="preserve">TOTALS</t>
  </si>
  <si>
    <t xml:space="preserve">SECTION 2 — MEAN ATTACK DURATION (seconds)</t>
  </si>
  <si>
    <t xml:space="preserve">Conv Run1 (s)</t>
  </si>
  <si>
    <t xml:space="preserve">Conv Run2 (s)</t>
  </si>
  <si>
    <t xml:space="preserve">Conv Run3 (s)</t>
  </si>
  <si>
    <t xml:space="preserve">Conv Mean (s)</t>
  </si>
  <si>
    <t xml:space="preserve">ZTA Run1 (s)</t>
  </si>
  <si>
    <t xml:space="preserve">ZTA Run2 (s)</t>
  </si>
  <si>
    <t xml:space="preserve">ZTA Run3 (s)</t>
  </si>
  <si>
    <t xml:space="preserve">ZTA Mean (s)</t>
  </si>
  <si>
    <t xml:space="preserve">SECTION 3 — KEY RESEARCH FINDINGS</t>
  </si>
  <si>
    <t xml:space="preserve">ZTA BLOCKED 100% of attempts vs Conventional 100% success rate</t>
  </si>
  <si>
    <t xml:space="preserve">NSG rule block-attacker-to-fs (priority 220) denied port 445 access from attacker VNet</t>
  </si>
  <si>
    <t xml:space="preserve">Same NSG rule prevented file copy from SMB share to attacker VM</t>
  </si>
  <si>
    <t xml:space="preserve">NSG + JIT access denied ADMIN$ share connection; Error 53/64 returned</t>
  </si>
  <si>
    <t xml:space="preserve">Misconfiguration</t>
  </si>
  <si>
    <t xml:space="preserve">Private endpoint + disabled public access returned AuthorizationFailure vs HTTP 200</t>
  </si>
  <si>
    <t xml:space="preserve">Both environments: all 7 password guesses failed</t>
  </si>
  <si>
    <t xml:space="preserve">Passwords used did not match target accounts; attack executed and logged correctly</t>
  </si>
  <si>
    <t xml:space="preserve">ZTA Delay Effect</t>
  </si>
  <si>
    <t xml:space="preserve">ZTA environments showed 22-23 second delays on first connection</t>
  </si>
  <si>
    <t xml:space="preserve">JIT access and NSG evaluation introduced measurable friction even when not fully blocking</t>
  </si>
  <si>
    <t xml:space="preserve">Head-to-Head Comparison: ZTA vs Conventional Security</t>
  </si>
  <si>
    <t xml:space="preserve">Conventional Result</t>
  </si>
  <si>
    <t xml:space="preserve">ZTA Result</t>
  </si>
  <si>
    <t xml:space="preserve">ZTA Effective?</t>
  </si>
  <si>
    <t xml:space="preserve">Key Differentiator</t>
  </si>
  <si>
    <t xml:space="preserve">Partial</t>
  </si>
  <si>
    <t xml:space="preserve">ZTA introduced 22s delay; NSG slowing brute force; no correct password in wordlist</t>
  </si>
  <si>
    <t xml:space="preserve">✅ Succeeded (3/3)</t>
  </si>
  <si>
    <t xml:space="preserve">❌ Blocked (3/3)</t>
  </si>
  <si>
    <t xml:space="preserve">Yes</t>
  </si>
  <si>
    <t xml:space="preserve">NSG rule block-attacker-to-fs denied port 445 — network path not found</t>
  </si>
  <si>
    <t xml:space="preserve">Same NSG rule prevented attacker reaching file server to copy files</t>
  </si>
  <si>
    <t xml:space="preserve">NSG + JIT blocked ADMIN$ share access; network name unavailable</t>
  </si>
  <si>
    <t xml:space="preserve">Private endpoint + public access disabled returned AuthorizationFailure vs HTTP 200</t>
  </si>
  <si>
    <t xml:space="preserve">OVERALL ZTA EFFECTIVENESS</t>
  </si>
  <si>
    <t xml:space="preserve">Attack Success: 12/12</t>
  </si>
  <si>
    <t xml:space="preserve">Attack Success: 0/12 blocked</t>
  </si>
  <si>
    <t xml:space="preserve">4/5 Categories</t>
  </si>
  <si>
    <t xml:space="preserve">ZTA blocked 100% of testable attacks across 4 of 5 MITRE ATT&amp;CK categories</t>
  </si>
  <si>
    <t xml:space="preserve">ZTA Security Controls Configuration Status</t>
  </si>
  <si>
    <t xml:space="preserve">ZTA Control</t>
  </si>
  <si>
    <t xml:space="preserve">Category</t>
  </si>
  <si>
    <t xml:space="preserve">Status</t>
  </si>
  <si>
    <t xml:space="preserve">Evidence</t>
  </si>
  <si>
    <t xml:space="preserve">Attacks Addressed</t>
  </si>
  <si>
    <t xml:space="preserve">NSG Micro-Segmentation</t>
  </si>
  <si>
    <t xml:space="preserve">Network</t>
  </si>
  <si>
    <t xml:space="preserve">✅ Applied</t>
  </si>
  <si>
    <t xml:space="preserve">block-attacker-to-fs (priority 220) deny port 445 from 10.2.0.0/16 to 10.0.1.20</t>
  </si>
  <si>
    <t xml:space="preserve">Lateral Movement, Data Exfiltration, Privilege Escalation</t>
  </si>
  <si>
    <t xml:space="preserve">Just-In-Time VM Access</t>
  </si>
  <si>
    <t xml:space="preserve">JIT policies: default (DC) and default-fs (FS) — ports 3389 and 445 locked by default</t>
  </si>
  <si>
    <t xml:space="preserve">Lateral Movement, Privilege Escalation</t>
  </si>
  <si>
    <t xml:space="preserve">Defender for Cloud (Standard)</t>
  </si>
  <si>
    <t xml:space="preserve">Detection</t>
  </si>
  <si>
    <t xml:space="preserve">Set-AzSecurityPricing VirtualMachines + StorageAccounts = Standard</t>
  </si>
  <si>
    <t xml:space="preserve">All categories — enhanced threat detection</t>
  </si>
  <si>
    <t xml:space="preserve">Storage Private Endpoint</t>
  </si>
  <si>
    <t xml:space="preserve">Cloud</t>
  </si>
  <si>
    <t xml:space="preserve">PublicNetworkAccess = Disabled; private endpoint enforced on saztaresearch01</t>
  </si>
  <si>
    <t xml:space="preserve">Misconfiguration Exploitation</t>
  </si>
  <si>
    <t xml:space="preserve">File Server Domain Join</t>
  </si>
  <si>
    <t xml:space="preserve">Identity</t>
  </si>
  <si>
    <t xml:space="preserve">vm-fs-zta joined to ztaresearch.local; SMB shares require domain credentials</t>
  </si>
  <si>
    <t xml:space="preserve">Lateral Movement, Data Exfiltration</t>
  </si>
  <si>
    <t xml:space="preserve">Conditional Access — MFA</t>
  </si>
  <si>
    <t xml:space="preserve">Require MFA - ZTA Research policy enabled via Microsoft Graph</t>
  </si>
  <si>
    <t xml:space="preserve">Credential Theft, Privilege Escalation</t>
  </si>
  <si>
    <t xml:space="preserve">Conditional Access — Block Legacy Auth</t>
  </si>
  <si>
    <t xml:space="preserve">Block Legacy Auth - ZTA Research policy enabled</t>
  </si>
  <si>
    <t xml:space="preserve">Privileged Identity Management (PIM)</t>
  </si>
  <si>
    <t xml:space="preserve">Global Admin + Priv Role Admin: max 1hr, approval required, MFA on activation</t>
  </si>
  <si>
    <t xml:space="preserve">Sentinel Analytics Rules (5 rules)</t>
  </si>
  <si>
    <t xml:space="preserve">Brute Force, Lateral Movement, Priv Escalation, File Access, Storage rules active</t>
  </si>
  <si>
    <t xml:space="preserve">All categories — detection and alerting</t>
  </si>
  <si>
    <t xml:space="preserve">Sentinel Data Collection</t>
  </si>
  <si>
    <t xml:space="preserve">AzureMonitorWindowsAgent on DC + FS; DCR dcr-zta-research associated</t>
  </si>
  <si>
    <t xml:space="preserve">All categories — log collection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</si>
</sst>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B4F00"/>
      <name val="Arial"/>
      <family val="0"/>
      <charset val="1"/>
    </font>
    <font>
      <b val="true"/>
      <sz val="10"/>
      <color rgb="FF7B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C2C2C"/>
        <bgColor rgb="FF1F3864"/>
      </patternFill>
    </fill>
    <fill>
      <patternFill patternType="solid">
        <fgColor rgb="FF2E5D9E"/>
        <bgColor rgb="FF666699"/>
      </patternFill>
    </fill>
    <fill>
      <patternFill patternType="solid">
        <fgColor rgb="FFFFF2CC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EBF0F8"/>
        <bgColor rgb="FFF2F2F2"/>
      </patternFill>
    </fill>
    <fill>
      <patternFill patternType="solid">
        <fgColor rgb="FFFFCCCC"/>
        <bgColor rgb="FFFFEB9C"/>
      </patternFill>
    </fill>
    <fill>
      <patternFill patternType="solid">
        <fgColor rgb="FFC6EFCE"/>
        <bgColor rgb="FFEBF0F8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0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0F8"/>
      <rgbColor rgb="FF660066"/>
      <rgbColor rgb="FFFF8080"/>
      <rgbColor rgb="FF2E5D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75623"/>
      <rgbColor rgb="FF7B4F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0" min="6" style="0" width="12"/>
    <col collapsed="false" customWidth="true" hidden="false" outlineLevel="0" max="11" min="11" style="0" width="14"/>
    <col collapsed="false" customWidth="true" hidden="false" outlineLevel="0" max="12" min="12" style="0" width="3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1.75" hidden="false" customHeight="tru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n">
        <v>1</v>
      </c>
      <c r="F5" s="5" t="s">
        <v>18</v>
      </c>
      <c r="G5" s="4" t="s">
        <v>19</v>
      </c>
      <c r="H5" s="4" t="s">
        <v>20</v>
      </c>
      <c r="I5" s="4" t="n">
        <v>1</v>
      </c>
      <c r="J5" s="4" t="n">
        <v>0</v>
      </c>
      <c r="K5" s="4" t="n">
        <v>0</v>
      </c>
      <c r="L5" s="6" t="s">
        <v>21</v>
      </c>
    </row>
    <row r="6" customFormat="false" ht="21.75" hidden="false" customHeight="true" outlineLevel="0" collapsed="false">
      <c r="A6" s="4" t="s">
        <v>14</v>
      </c>
      <c r="B6" s="4" t="s">
        <v>15</v>
      </c>
      <c r="C6" s="4" t="s">
        <v>16</v>
      </c>
      <c r="D6" s="4" t="s">
        <v>17</v>
      </c>
      <c r="E6" s="4" t="n">
        <v>2</v>
      </c>
      <c r="F6" s="5" t="s">
        <v>18</v>
      </c>
      <c r="G6" s="4" t="s">
        <v>22</v>
      </c>
      <c r="H6" s="4" t="s">
        <v>22</v>
      </c>
      <c r="I6" s="4" t="n">
        <v>0</v>
      </c>
      <c r="J6" s="4" t="n">
        <v>0</v>
      </c>
      <c r="K6" s="4" t="n">
        <v>0</v>
      </c>
      <c r="L6" s="6"/>
    </row>
    <row r="7" customFormat="false" ht="21.75" hidden="false" customHeight="true" outlineLevel="0" collapsed="false">
      <c r="A7" s="4" t="s">
        <v>14</v>
      </c>
      <c r="B7" s="4" t="s">
        <v>15</v>
      </c>
      <c r="C7" s="4" t="s">
        <v>16</v>
      </c>
      <c r="D7" s="4" t="s">
        <v>17</v>
      </c>
      <c r="E7" s="4" t="n">
        <v>3</v>
      </c>
      <c r="F7" s="5" t="s">
        <v>18</v>
      </c>
      <c r="G7" s="4" t="s">
        <v>23</v>
      </c>
      <c r="H7" s="4" t="s">
        <v>24</v>
      </c>
      <c r="I7" s="4" t="n">
        <v>1</v>
      </c>
      <c r="J7" s="4" t="n">
        <v>0</v>
      </c>
      <c r="K7" s="4" t="n">
        <v>0</v>
      </c>
      <c r="L7" s="6"/>
    </row>
    <row r="8" customFormat="false" ht="21.75" hidden="false" customHeight="true" outlineLevel="0" collapsed="false">
      <c r="A8" s="7" t="s">
        <v>14</v>
      </c>
      <c r="B8" s="7" t="s">
        <v>25</v>
      </c>
      <c r="C8" s="7" t="s">
        <v>16</v>
      </c>
      <c r="D8" s="7" t="s">
        <v>17</v>
      </c>
      <c r="E8" s="7" t="n">
        <v>1</v>
      </c>
      <c r="F8" s="5" t="s">
        <v>18</v>
      </c>
      <c r="G8" s="7" t="s">
        <v>26</v>
      </c>
      <c r="H8" s="7" t="s">
        <v>27</v>
      </c>
      <c r="I8" s="7" t="n">
        <v>23</v>
      </c>
      <c r="J8" s="7" t="n">
        <v>0</v>
      </c>
      <c r="K8" s="7" t="n">
        <v>0</v>
      </c>
      <c r="L8" s="8" t="s">
        <v>28</v>
      </c>
    </row>
    <row r="9" customFormat="false" ht="21.75" hidden="false" customHeight="true" outlineLevel="0" collapsed="false">
      <c r="A9" s="7" t="s">
        <v>14</v>
      </c>
      <c r="B9" s="7" t="s">
        <v>25</v>
      </c>
      <c r="C9" s="7" t="s">
        <v>16</v>
      </c>
      <c r="D9" s="7" t="s">
        <v>17</v>
      </c>
      <c r="E9" s="7" t="n">
        <v>2</v>
      </c>
      <c r="F9" s="5" t="s">
        <v>18</v>
      </c>
      <c r="G9" s="7" t="s">
        <v>29</v>
      </c>
      <c r="H9" s="7" t="s">
        <v>30</v>
      </c>
      <c r="I9" s="7" t="n">
        <v>23</v>
      </c>
      <c r="J9" s="7" t="n">
        <v>0</v>
      </c>
      <c r="K9" s="7" t="n">
        <v>0</v>
      </c>
      <c r="L9" s="8"/>
    </row>
    <row r="10" customFormat="false" ht="21.75" hidden="false" customHeight="true" outlineLevel="0" collapsed="false">
      <c r="A10" s="7" t="s">
        <v>14</v>
      </c>
      <c r="B10" s="7" t="s">
        <v>25</v>
      </c>
      <c r="C10" s="7" t="s">
        <v>16</v>
      </c>
      <c r="D10" s="7" t="s">
        <v>17</v>
      </c>
      <c r="E10" s="7" t="n">
        <v>3</v>
      </c>
      <c r="F10" s="5" t="s">
        <v>18</v>
      </c>
      <c r="G10" s="7" t="s">
        <v>31</v>
      </c>
      <c r="H10" s="7" t="s">
        <v>31</v>
      </c>
      <c r="I10" s="7" t="n">
        <v>0</v>
      </c>
      <c r="J10" s="7" t="n">
        <v>0</v>
      </c>
      <c r="K10" s="7" t="n">
        <v>0</v>
      </c>
      <c r="L10" s="8"/>
    </row>
    <row r="11" customFormat="false" ht="21.75" hidden="false" customHeight="true" outlineLevel="0" collapsed="false">
      <c r="A11" s="4" t="s">
        <v>14</v>
      </c>
      <c r="B11" s="4" t="s">
        <v>15</v>
      </c>
      <c r="C11" s="4" t="s">
        <v>32</v>
      </c>
      <c r="D11" s="4" t="s">
        <v>33</v>
      </c>
      <c r="E11" s="4" t="n">
        <v>1</v>
      </c>
      <c r="F11" s="9" t="s">
        <v>34</v>
      </c>
      <c r="G11" s="4" t="s">
        <v>35</v>
      </c>
      <c r="H11" s="4" t="s">
        <v>35</v>
      </c>
      <c r="I11" s="4" t="n">
        <v>0</v>
      </c>
      <c r="J11" s="4" t="n">
        <v>0</v>
      </c>
      <c r="K11" s="4" t="n">
        <v>0</v>
      </c>
      <c r="L11" s="6" t="s">
        <v>36</v>
      </c>
    </row>
    <row r="12" customFormat="false" ht="21.75" hidden="false" customHeight="true" outlineLevel="0" collapsed="false">
      <c r="A12" s="4" t="s">
        <v>14</v>
      </c>
      <c r="B12" s="4" t="s">
        <v>15</v>
      </c>
      <c r="C12" s="4" t="s">
        <v>32</v>
      </c>
      <c r="D12" s="4" t="s">
        <v>33</v>
      </c>
      <c r="E12" s="4" t="n">
        <v>2</v>
      </c>
      <c r="F12" s="9" t="s">
        <v>34</v>
      </c>
      <c r="G12" s="4" t="s">
        <v>37</v>
      </c>
      <c r="H12" s="4" t="s">
        <v>37</v>
      </c>
      <c r="I12" s="4" t="n">
        <v>0</v>
      </c>
      <c r="J12" s="4" t="n">
        <v>0</v>
      </c>
      <c r="K12" s="4" t="n">
        <v>0</v>
      </c>
      <c r="L12" s="6"/>
    </row>
    <row r="13" customFormat="false" ht="21.75" hidden="false" customHeight="true" outlineLevel="0" collapsed="false">
      <c r="A13" s="4" t="s">
        <v>14</v>
      </c>
      <c r="B13" s="4" t="s">
        <v>15</v>
      </c>
      <c r="C13" s="4" t="s">
        <v>32</v>
      </c>
      <c r="D13" s="4" t="s">
        <v>33</v>
      </c>
      <c r="E13" s="4" t="n">
        <v>3</v>
      </c>
      <c r="F13" s="9" t="s">
        <v>34</v>
      </c>
      <c r="G13" s="4" t="s">
        <v>38</v>
      </c>
      <c r="H13" s="4" t="s">
        <v>38</v>
      </c>
      <c r="I13" s="4" t="n">
        <v>0</v>
      </c>
      <c r="J13" s="4" t="n">
        <v>0</v>
      </c>
      <c r="K13" s="4" t="n">
        <v>0</v>
      </c>
      <c r="L13" s="6"/>
    </row>
    <row r="14" customFormat="false" ht="21.75" hidden="false" customHeight="true" outlineLevel="0" collapsed="false">
      <c r="A14" s="7" t="s">
        <v>14</v>
      </c>
      <c r="B14" s="7" t="s">
        <v>25</v>
      </c>
      <c r="C14" s="7" t="s">
        <v>32</v>
      </c>
      <c r="D14" s="7" t="s">
        <v>33</v>
      </c>
      <c r="E14" s="7" t="n">
        <v>1</v>
      </c>
      <c r="F14" s="10" t="s">
        <v>39</v>
      </c>
      <c r="G14" s="7" t="s">
        <v>40</v>
      </c>
      <c r="H14" s="7" t="s">
        <v>41</v>
      </c>
      <c r="I14" s="7" t="n">
        <v>22</v>
      </c>
      <c r="J14" s="7" t="n">
        <v>0</v>
      </c>
      <c r="K14" s="7" t="n">
        <v>0</v>
      </c>
      <c r="L14" s="8" t="s">
        <v>42</v>
      </c>
    </row>
    <row r="15" customFormat="false" ht="21.75" hidden="false" customHeight="true" outlineLevel="0" collapsed="false">
      <c r="A15" s="7" t="s">
        <v>14</v>
      </c>
      <c r="B15" s="7" t="s">
        <v>25</v>
      </c>
      <c r="C15" s="7" t="s">
        <v>32</v>
      </c>
      <c r="D15" s="7" t="s">
        <v>33</v>
      </c>
      <c r="E15" s="7" t="n">
        <v>2</v>
      </c>
      <c r="F15" s="10" t="s">
        <v>39</v>
      </c>
      <c r="G15" s="7" t="s">
        <v>43</v>
      </c>
      <c r="H15" s="7" t="s">
        <v>44</v>
      </c>
      <c r="I15" s="7" t="n">
        <v>23</v>
      </c>
      <c r="J15" s="7" t="n">
        <v>0</v>
      </c>
      <c r="K15" s="7" t="n">
        <v>0</v>
      </c>
      <c r="L15" s="8"/>
    </row>
    <row r="16" customFormat="false" ht="21.75" hidden="false" customHeight="true" outlineLevel="0" collapsed="false">
      <c r="A16" s="7" t="s">
        <v>14</v>
      </c>
      <c r="B16" s="7" t="s">
        <v>25</v>
      </c>
      <c r="C16" s="7" t="s">
        <v>32</v>
      </c>
      <c r="D16" s="7" t="s">
        <v>33</v>
      </c>
      <c r="E16" s="7" t="n">
        <v>3</v>
      </c>
      <c r="F16" s="10" t="s">
        <v>39</v>
      </c>
      <c r="G16" s="7" t="s">
        <v>45</v>
      </c>
      <c r="H16" s="7" t="s">
        <v>45</v>
      </c>
      <c r="I16" s="7" t="n">
        <v>0</v>
      </c>
      <c r="J16" s="7" t="n">
        <v>0</v>
      </c>
      <c r="K16" s="7" t="n">
        <v>0</v>
      </c>
      <c r="L16" s="8"/>
    </row>
    <row r="17" customFormat="false" ht="21.75" hidden="false" customHeight="true" outlineLevel="0" collapsed="false">
      <c r="A17" s="4" t="s">
        <v>14</v>
      </c>
      <c r="B17" s="4" t="s">
        <v>15</v>
      </c>
      <c r="C17" s="4" t="s">
        <v>46</v>
      </c>
      <c r="D17" s="4" t="s">
        <v>47</v>
      </c>
      <c r="E17" s="4" t="n">
        <v>1</v>
      </c>
      <c r="F17" s="9" t="s">
        <v>34</v>
      </c>
      <c r="G17" s="4" t="s">
        <v>48</v>
      </c>
      <c r="H17" s="4" t="s">
        <v>48</v>
      </c>
      <c r="I17" s="4" t="n">
        <v>0</v>
      </c>
      <c r="J17" s="4" t="n">
        <v>0</v>
      </c>
      <c r="K17" s="4" t="n">
        <v>0</v>
      </c>
      <c r="L17" s="6" t="s">
        <v>49</v>
      </c>
    </row>
    <row r="18" customFormat="false" ht="21.75" hidden="false" customHeight="true" outlineLevel="0" collapsed="false">
      <c r="A18" s="4" t="s">
        <v>14</v>
      </c>
      <c r="B18" s="4" t="s">
        <v>15</v>
      </c>
      <c r="C18" s="4" t="s">
        <v>46</v>
      </c>
      <c r="D18" s="4" t="s">
        <v>47</v>
      </c>
      <c r="E18" s="4" t="n">
        <v>2</v>
      </c>
      <c r="F18" s="9" t="s">
        <v>34</v>
      </c>
      <c r="G18" s="4" t="s">
        <v>50</v>
      </c>
      <c r="H18" s="4" t="s">
        <v>50</v>
      </c>
      <c r="I18" s="4" t="n">
        <v>0</v>
      </c>
      <c r="J18" s="4" t="n">
        <v>0</v>
      </c>
      <c r="K18" s="4" t="n">
        <v>0</v>
      </c>
      <c r="L18" s="6"/>
    </row>
    <row r="19" customFormat="false" ht="21.75" hidden="false" customHeight="true" outlineLevel="0" collapsed="false">
      <c r="A19" s="4" t="s">
        <v>14</v>
      </c>
      <c r="B19" s="4" t="s">
        <v>15</v>
      </c>
      <c r="C19" s="4" t="s">
        <v>46</v>
      </c>
      <c r="D19" s="4" t="s">
        <v>47</v>
      </c>
      <c r="E19" s="4" t="n">
        <v>3</v>
      </c>
      <c r="F19" s="9" t="s">
        <v>34</v>
      </c>
      <c r="G19" s="4" t="s">
        <v>51</v>
      </c>
      <c r="H19" s="4" t="s">
        <v>51</v>
      </c>
      <c r="I19" s="4" t="n">
        <v>0</v>
      </c>
      <c r="J19" s="4" t="n">
        <v>0</v>
      </c>
      <c r="K19" s="4" t="n">
        <v>0</v>
      </c>
      <c r="L19" s="6"/>
    </row>
    <row r="20" customFormat="false" ht="21.75" hidden="false" customHeight="true" outlineLevel="0" collapsed="false">
      <c r="A20" s="7" t="s">
        <v>14</v>
      </c>
      <c r="B20" s="7" t="s">
        <v>25</v>
      </c>
      <c r="C20" s="7" t="s">
        <v>46</v>
      </c>
      <c r="D20" s="7" t="s">
        <v>47</v>
      </c>
      <c r="E20" s="7" t="n">
        <v>1</v>
      </c>
      <c r="F20" s="10" t="s">
        <v>39</v>
      </c>
      <c r="G20" s="7" t="s">
        <v>52</v>
      </c>
      <c r="H20" s="7" t="s">
        <v>53</v>
      </c>
      <c r="I20" s="7" t="n">
        <v>22</v>
      </c>
      <c r="J20" s="7" t="n">
        <v>0</v>
      </c>
      <c r="K20" s="7" t="n">
        <v>0</v>
      </c>
      <c r="L20" s="8" t="s">
        <v>54</v>
      </c>
    </row>
    <row r="21" customFormat="false" ht="21.75" hidden="false" customHeight="true" outlineLevel="0" collapsed="false">
      <c r="A21" s="7" t="s">
        <v>14</v>
      </c>
      <c r="B21" s="7" t="s">
        <v>25</v>
      </c>
      <c r="C21" s="7" t="s">
        <v>46</v>
      </c>
      <c r="D21" s="7" t="s">
        <v>47</v>
      </c>
      <c r="E21" s="7" t="n">
        <v>2</v>
      </c>
      <c r="F21" s="10" t="s">
        <v>39</v>
      </c>
      <c r="G21" s="7" t="s">
        <v>55</v>
      </c>
      <c r="H21" s="7" t="s">
        <v>55</v>
      </c>
      <c r="I21" s="7" t="n">
        <v>0</v>
      </c>
      <c r="J21" s="7" t="n">
        <v>0</v>
      </c>
      <c r="K21" s="7" t="n">
        <v>0</v>
      </c>
      <c r="L21" s="8"/>
    </row>
    <row r="22" customFormat="false" ht="21.75" hidden="false" customHeight="true" outlineLevel="0" collapsed="false">
      <c r="A22" s="7" t="s">
        <v>14</v>
      </c>
      <c r="B22" s="7" t="s">
        <v>25</v>
      </c>
      <c r="C22" s="7" t="s">
        <v>46</v>
      </c>
      <c r="D22" s="7" t="s">
        <v>47</v>
      </c>
      <c r="E22" s="7" t="n">
        <v>3</v>
      </c>
      <c r="F22" s="10" t="s">
        <v>39</v>
      </c>
      <c r="G22" s="7" t="s">
        <v>56</v>
      </c>
      <c r="H22" s="7" t="s">
        <v>56</v>
      </c>
      <c r="I22" s="7" t="n">
        <v>0</v>
      </c>
      <c r="J22" s="7" t="n">
        <v>0</v>
      </c>
      <c r="K22" s="7" t="n">
        <v>0</v>
      </c>
      <c r="L22" s="8"/>
    </row>
    <row r="23" customFormat="false" ht="21.75" hidden="false" customHeight="true" outlineLevel="0" collapsed="false">
      <c r="A23" s="4" t="s">
        <v>14</v>
      </c>
      <c r="B23" s="4" t="s">
        <v>15</v>
      </c>
      <c r="C23" s="4" t="s">
        <v>57</v>
      </c>
      <c r="D23" s="4" t="s">
        <v>58</v>
      </c>
      <c r="E23" s="4" t="n">
        <v>1</v>
      </c>
      <c r="F23" s="9" t="s">
        <v>34</v>
      </c>
      <c r="G23" s="4" t="s">
        <v>59</v>
      </c>
      <c r="H23" s="4" t="s">
        <v>59</v>
      </c>
      <c r="I23" s="4" t="n">
        <v>0</v>
      </c>
      <c r="J23" s="4" t="n">
        <v>0</v>
      </c>
      <c r="K23" s="4" t="n">
        <v>0</v>
      </c>
      <c r="L23" s="6" t="s">
        <v>60</v>
      </c>
    </row>
    <row r="24" customFormat="false" ht="21.75" hidden="false" customHeight="true" outlineLevel="0" collapsed="false">
      <c r="A24" s="4" t="s">
        <v>14</v>
      </c>
      <c r="B24" s="4" t="s">
        <v>15</v>
      </c>
      <c r="C24" s="4" t="s">
        <v>57</v>
      </c>
      <c r="D24" s="4" t="s">
        <v>58</v>
      </c>
      <c r="E24" s="4" t="n">
        <v>2</v>
      </c>
      <c r="F24" s="9" t="s">
        <v>34</v>
      </c>
      <c r="G24" s="4" t="s">
        <v>61</v>
      </c>
      <c r="H24" s="4" t="s">
        <v>61</v>
      </c>
      <c r="I24" s="4" t="n">
        <v>0</v>
      </c>
      <c r="J24" s="4" t="n">
        <v>0</v>
      </c>
      <c r="K24" s="4" t="n">
        <v>0</v>
      </c>
      <c r="L24" s="6"/>
    </row>
    <row r="25" customFormat="false" ht="21.75" hidden="false" customHeight="true" outlineLevel="0" collapsed="false">
      <c r="A25" s="4" t="s">
        <v>14</v>
      </c>
      <c r="B25" s="4" t="s">
        <v>15</v>
      </c>
      <c r="C25" s="4" t="s">
        <v>57</v>
      </c>
      <c r="D25" s="4" t="s">
        <v>58</v>
      </c>
      <c r="E25" s="4" t="n">
        <v>3</v>
      </c>
      <c r="F25" s="9" t="s">
        <v>34</v>
      </c>
      <c r="G25" s="4" t="s">
        <v>62</v>
      </c>
      <c r="H25" s="4" t="s">
        <v>62</v>
      </c>
      <c r="I25" s="4" t="n">
        <v>0</v>
      </c>
      <c r="J25" s="4" t="n">
        <v>0</v>
      </c>
      <c r="K25" s="4" t="n">
        <v>0</v>
      </c>
      <c r="L25" s="6"/>
    </row>
    <row r="26" customFormat="false" ht="21.75" hidden="false" customHeight="true" outlineLevel="0" collapsed="false">
      <c r="A26" s="7" t="s">
        <v>14</v>
      </c>
      <c r="B26" s="7" t="s">
        <v>25</v>
      </c>
      <c r="C26" s="7" t="s">
        <v>57</v>
      </c>
      <c r="D26" s="7" t="s">
        <v>58</v>
      </c>
      <c r="E26" s="7" t="n">
        <v>1</v>
      </c>
      <c r="F26" s="10" t="s">
        <v>39</v>
      </c>
      <c r="G26" s="7" t="s">
        <v>63</v>
      </c>
      <c r="H26" s="7" t="s">
        <v>64</v>
      </c>
      <c r="I26" s="7" t="n">
        <v>22</v>
      </c>
      <c r="J26" s="7" t="n">
        <v>0</v>
      </c>
      <c r="K26" s="7" t="n">
        <v>0</v>
      </c>
      <c r="L26" s="8" t="s">
        <v>65</v>
      </c>
    </row>
    <row r="27" customFormat="false" ht="21.75" hidden="false" customHeight="true" outlineLevel="0" collapsed="false">
      <c r="A27" s="7" t="s">
        <v>14</v>
      </c>
      <c r="B27" s="7" t="s">
        <v>25</v>
      </c>
      <c r="C27" s="7" t="s">
        <v>57</v>
      </c>
      <c r="D27" s="7" t="s">
        <v>58</v>
      </c>
      <c r="E27" s="7" t="n">
        <v>2</v>
      </c>
      <c r="F27" s="10" t="s">
        <v>39</v>
      </c>
      <c r="G27" s="7" t="s">
        <v>66</v>
      </c>
      <c r="H27" s="7" t="s">
        <v>66</v>
      </c>
      <c r="I27" s="7" t="n">
        <v>0</v>
      </c>
      <c r="J27" s="7" t="n">
        <v>0</v>
      </c>
      <c r="K27" s="7" t="n">
        <v>0</v>
      </c>
      <c r="L27" s="8"/>
    </row>
    <row r="28" customFormat="false" ht="21.75" hidden="false" customHeight="true" outlineLevel="0" collapsed="false">
      <c r="A28" s="7" t="s">
        <v>14</v>
      </c>
      <c r="B28" s="7" t="s">
        <v>25</v>
      </c>
      <c r="C28" s="7" t="s">
        <v>57</v>
      </c>
      <c r="D28" s="7" t="s">
        <v>58</v>
      </c>
      <c r="E28" s="7" t="n">
        <v>3</v>
      </c>
      <c r="F28" s="10" t="s">
        <v>39</v>
      </c>
      <c r="G28" s="7" t="s">
        <v>67</v>
      </c>
      <c r="H28" s="7" t="s">
        <v>67</v>
      </c>
      <c r="I28" s="7" t="n">
        <v>0</v>
      </c>
      <c r="J28" s="7" t="n">
        <v>0</v>
      </c>
      <c r="K28" s="7" t="n">
        <v>0</v>
      </c>
      <c r="L28" s="8"/>
    </row>
    <row r="29" customFormat="false" ht="21.75" hidden="false" customHeight="true" outlineLevel="0" collapsed="false">
      <c r="A29" s="4" t="s">
        <v>14</v>
      </c>
      <c r="B29" s="4" t="s">
        <v>15</v>
      </c>
      <c r="C29" s="4" t="s">
        <v>68</v>
      </c>
      <c r="D29" s="4" t="s">
        <v>69</v>
      </c>
      <c r="E29" s="4" t="n">
        <v>1</v>
      </c>
      <c r="F29" s="9" t="s">
        <v>34</v>
      </c>
      <c r="G29" s="4" t="s">
        <v>70</v>
      </c>
      <c r="H29" s="4" t="s">
        <v>70</v>
      </c>
      <c r="I29" s="4" t="n">
        <v>0</v>
      </c>
      <c r="J29" s="4" t="n">
        <v>0</v>
      </c>
      <c r="K29" s="4" t="n">
        <v>0</v>
      </c>
      <c r="L29" s="6" t="s">
        <v>71</v>
      </c>
    </row>
    <row r="30" customFormat="false" ht="21.75" hidden="false" customHeight="true" outlineLevel="0" collapsed="false">
      <c r="A30" s="4" t="s">
        <v>14</v>
      </c>
      <c r="B30" s="4" t="s">
        <v>15</v>
      </c>
      <c r="C30" s="4" t="s">
        <v>68</v>
      </c>
      <c r="D30" s="4" t="s">
        <v>69</v>
      </c>
      <c r="E30" s="4" t="n">
        <v>2</v>
      </c>
      <c r="F30" s="9" t="s">
        <v>34</v>
      </c>
      <c r="G30" s="4" t="s">
        <v>72</v>
      </c>
      <c r="H30" s="4" t="s">
        <v>72</v>
      </c>
      <c r="I30" s="4" t="n">
        <v>0</v>
      </c>
      <c r="J30" s="4" t="n">
        <v>0</v>
      </c>
      <c r="K30" s="4" t="n">
        <v>0</v>
      </c>
      <c r="L30" s="6"/>
    </row>
    <row r="31" customFormat="false" ht="21.75" hidden="false" customHeight="true" outlineLevel="0" collapsed="false">
      <c r="A31" s="4" t="s">
        <v>14</v>
      </c>
      <c r="B31" s="4" t="s">
        <v>15</v>
      </c>
      <c r="C31" s="4" t="s">
        <v>68</v>
      </c>
      <c r="D31" s="4" t="s">
        <v>69</v>
      </c>
      <c r="E31" s="4" t="n">
        <v>3</v>
      </c>
      <c r="F31" s="9" t="s">
        <v>34</v>
      </c>
      <c r="G31" s="4" t="s">
        <v>73</v>
      </c>
      <c r="H31" s="4" t="s">
        <v>73</v>
      </c>
      <c r="I31" s="4" t="n">
        <v>0</v>
      </c>
      <c r="J31" s="4" t="n">
        <v>0</v>
      </c>
      <c r="K31" s="4" t="n">
        <v>0</v>
      </c>
      <c r="L31" s="6"/>
    </row>
    <row r="32" customFormat="false" ht="21.75" hidden="false" customHeight="true" outlineLevel="0" collapsed="false">
      <c r="A32" s="7" t="s">
        <v>14</v>
      </c>
      <c r="B32" s="7" t="s">
        <v>25</v>
      </c>
      <c r="C32" s="7" t="s">
        <v>68</v>
      </c>
      <c r="D32" s="7" t="s">
        <v>69</v>
      </c>
      <c r="E32" s="7" t="n">
        <v>1</v>
      </c>
      <c r="F32" s="10" t="s">
        <v>39</v>
      </c>
      <c r="G32" s="7" t="s">
        <v>74</v>
      </c>
      <c r="H32" s="7" t="s">
        <v>74</v>
      </c>
      <c r="I32" s="7" t="n">
        <v>0</v>
      </c>
      <c r="J32" s="7" t="n">
        <v>0</v>
      </c>
      <c r="K32" s="7" t="n">
        <v>0</v>
      </c>
      <c r="L32" s="8" t="s">
        <v>75</v>
      </c>
    </row>
    <row r="33" customFormat="false" ht="21.75" hidden="false" customHeight="true" outlineLevel="0" collapsed="false">
      <c r="A33" s="7" t="s">
        <v>14</v>
      </c>
      <c r="B33" s="7" t="s">
        <v>25</v>
      </c>
      <c r="C33" s="7" t="s">
        <v>68</v>
      </c>
      <c r="D33" s="7" t="s">
        <v>69</v>
      </c>
      <c r="E33" s="7" t="n">
        <v>2</v>
      </c>
      <c r="F33" s="10" t="s">
        <v>39</v>
      </c>
      <c r="G33" s="7" t="s">
        <v>76</v>
      </c>
      <c r="H33" s="7" t="s">
        <v>76</v>
      </c>
      <c r="I33" s="7" t="n">
        <v>0</v>
      </c>
      <c r="J33" s="7" t="n">
        <v>0</v>
      </c>
      <c r="K33" s="7" t="n">
        <v>0</v>
      </c>
      <c r="L33" s="8"/>
    </row>
    <row r="34" customFormat="false" ht="21.75" hidden="false" customHeight="true" outlineLevel="0" collapsed="false">
      <c r="A34" s="7" t="s">
        <v>14</v>
      </c>
      <c r="B34" s="7" t="s">
        <v>25</v>
      </c>
      <c r="C34" s="7" t="s">
        <v>68</v>
      </c>
      <c r="D34" s="7" t="s">
        <v>69</v>
      </c>
      <c r="E34" s="7" t="n">
        <v>3</v>
      </c>
      <c r="F34" s="10" t="s">
        <v>39</v>
      </c>
      <c r="G34" s="7" t="s">
        <v>77</v>
      </c>
      <c r="H34" s="7" t="s">
        <v>77</v>
      </c>
      <c r="I34" s="7" t="n">
        <v>0</v>
      </c>
      <c r="J34" s="7" t="n">
        <v>0</v>
      </c>
      <c r="K34" s="7" t="n">
        <v>0</v>
      </c>
      <c r="L34" s="8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0" min="2" style="0" width="14"/>
  </cols>
  <sheetData>
    <row r="1" customFormat="false" ht="27.75" hidden="false" customHeight="true" outlineLevel="0" collapsed="false">
      <c r="A1" s="11" t="s">
        <v>78</v>
      </c>
      <c r="B1" s="11"/>
      <c r="C1" s="11"/>
      <c r="D1" s="11"/>
      <c r="E1" s="11"/>
      <c r="F1" s="11"/>
      <c r="G1" s="11"/>
      <c r="H1" s="11"/>
    </row>
    <row r="3" customFormat="false" ht="21.75" hidden="false" customHeight="true" outlineLevel="0" collapsed="false">
      <c r="A3" s="12" t="s">
        <v>79</v>
      </c>
      <c r="B3" s="12"/>
      <c r="C3" s="12"/>
      <c r="D3" s="12"/>
      <c r="E3" s="12"/>
      <c r="F3" s="12"/>
      <c r="G3" s="12"/>
      <c r="H3" s="12"/>
    </row>
    <row r="4" customFormat="false" ht="23.85" hidden="false" customHeight="false" outlineLevel="0" collapsed="false">
      <c r="A4" s="3" t="s">
        <v>4</v>
      </c>
      <c r="B4" s="3" t="s">
        <v>5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85</v>
      </c>
    </row>
    <row r="5" customFormat="false" ht="15" hidden="false" customHeight="false" outlineLevel="0" collapsed="false">
      <c r="A5" s="13" t="s">
        <v>16</v>
      </c>
      <c r="B5" s="13" t="s">
        <v>17</v>
      </c>
      <c r="C5" s="13" t="n">
        <v>0</v>
      </c>
      <c r="D5" s="13" t="n">
        <v>3</v>
      </c>
      <c r="E5" s="14" t="n">
        <f aca="false">C5/D5</f>
        <v>0</v>
      </c>
      <c r="F5" s="13" t="n">
        <v>0</v>
      </c>
      <c r="G5" s="13" t="n">
        <v>3</v>
      </c>
      <c r="H5" s="14" t="n">
        <f aca="false">F5/G5</f>
        <v>0</v>
      </c>
    </row>
    <row r="6" customFormat="false" ht="15" hidden="false" customHeight="false" outlineLevel="0" collapsed="false">
      <c r="A6" s="15" t="s">
        <v>32</v>
      </c>
      <c r="B6" s="15" t="s">
        <v>33</v>
      </c>
      <c r="C6" s="15" t="n">
        <v>3</v>
      </c>
      <c r="D6" s="15" t="n">
        <v>3</v>
      </c>
      <c r="E6" s="16" t="n">
        <f aca="false">C6/D6</f>
        <v>1</v>
      </c>
      <c r="F6" s="15" t="n">
        <v>0</v>
      </c>
      <c r="G6" s="15" t="n">
        <v>3</v>
      </c>
      <c r="H6" s="16" t="n">
        <f aca="false">F6/G6</f>
        <v>0</v>
      </c>
    </row>
    <row r="7" customFormat="false" ht="15" hidden="false" customHeight="false" outlineLevel="0" collapsed="false">
      <c r="A7" s="13" t="s">
        <v>46</v>
      </c>
      <c r="B7" s="13" t="s">
        <v>47</v>
      </c>
      <c r="C7" s="13" t="n">
        <v>3</v>
      </c>
      <c r="D7" s="13" t="n">
        <v>3</v>
      </c>
      <c r="E7" s="14" t="n">
        <f aca="false">C7/D7</f>
        <v>1</v>
      </c>
      <c r="F7" s="13" t="n">
        <v>0</v>
      </c>
      <c r="G7" s="13" t="n">
        <v>3</v>
      </c>
      <c r="H7" s="14" t="n">
        <f aca="false">F7/G7</f>
        <v>0</v>
      </c>
    </row>
    <row r="8" customFormat="false" ht="15" hidden="false" customHeight="false" outlineLevel="0" collapsed="false">
      <c r="A8" s="15" t="s">
        <v>57</v>
      </c>
      <c r="B8" s="15" t="s">
        <v>58</v>
      </c>
      <c r="C8" s="15" t="n">
        <v>3</v>
      </c>
      <c r="D8" s="15" t="n">
        <v>3</v>
      </c>
      <c r="E8" s="16" t="n">
        <f aca="false">C8/D8</f>
        <v>1</v>
      </c>
      <c r="F8" s="15" t="n">
        <v>0</v>
      </c>
      <c r="G8" s="15" t="n">
        <v>3</v>
      </c>
      <c r="H8" s="16" t="n">
        <f aca="false">F8/G8</f>
        <v>0</v>
      </c>
    </row>
    <row r="9" customFormat="false" ht="15" hidden="false" customHeight="false" outlineLevel="0" collapsed="false">
      <c r="A9" s="13" t="s">
        <v>68</v>
      </c>
      <c r="B9" s="13" t="s">
        <v>69</v>
      </c>
      <c r="C9" s="13" t="n">
        <v>3</v>
      </c>
      <c r="D9" s="13" t="n">
        <v>3</v>
      </c>
      <c r="E9" s="14" t="n">
        <f aca="false">C9/D9</f>
        <v>1</v>
      </c>
      <c r="F9" s="13" t="n">
        <v>0</v>
      </c>
      <c r="G9" s="13" t="n">
        <v>3</v>
      </c>
      <c r="H9" s="14" t="n">
        <f aca="false">F9/G9</f>
        <v>0</v>
      </c>
    </row>
    <row r="10" customFormat="false" ht="21.75" hidden="false" customHeight="true" outlineLevel="0" collapsed="false">
      <c r="A10" s="17" t="s">
        <v>86</v>
      </c>
      <c r="B10" s="17"/>
      <c r="C10" s="17" t="n">
        <f aca="false">SUM(C5:C9)</f>
        <v>12</v>
      </c>
      <c r="D10" s="17" t="n">
        <f aca="false">SUM(D5:D9)</f>
        <v>15</v>
      </c>
      <c r="E10" s="18" t="n">
        <f aca="false">C10/D10</f>
        <v>0.8</v>
      </c>
      <c r="F10" s="17" t="n">
        <f aca="false">SUM(F5:F9)</f>
        <v>0</v>
      </c>
      <c r="G10" s="17" t="n">
        <f aca="false">SUM(G5:G9)</f>
        <v>15</v>
      </c>
      <c r="H10" s="18" t="n">
        <f aca="false">F10/G10</f>
        <v>0</v>
      </c>
    </row>
    <row r="12" customFormat="false" ht="21.75" hidden="false" customHeight="true" outlineLevel="0" collapsed="false">
      <c r="A12" s="12" t="s">
        <v>87</v>
      </c>
      <c r="B12" s="12"/>
      <c r="C12" s="12"/>
      <c r="D12" s="12"/>
      <c r="E12" s="12"/>
      <c r="F12" s="12"/>
      <c r="G12" s="12"/>
      <c r="H12" s="12"/>
    </row>
    <row r="13" customFormat="false" ht="27.75" hidden="false" customHeight="true" outlineLevel="0" collapsed="false">
      <c r="A13" s="19" t="s">
        <v>4</v>
      </c>
      <c r="B13" s="19" t="s">
        <v>5</v>
      </c>
      <c r="C13" s="19" t="s">
        <v>88</v>
      </c>
      <c r="D13" s="19" t="s">
        <v>89</v>
      </c>
      <c r="E13" s="19" t="s">
        <v>90</v>
      </c>
      <c r="F13" s="19" t="s">
        <v>91</v>
      </c>
      <c r="G13" s="19" t="s">
        <v>92</v>
      </c>
      <c r="H13" s="19" t="s">
        <v>93</v>
      </c>
      <c r="I13" s="19" t="s">
        <v>94</v>
      </c>
      <c r="J13" s="19" t="s">
        <v>95</v>
      </c>
    </row>
    <row r="14" customFormat="false" ht="21.75" hidden="false" customHeight="true" outlineLevel="0" collapsed="false">
      <c r="A14" s="15" t="s">
        <v>16</v>
      </c>
      <c r="B14" s="15" t="s">
        <v>17</v>
      </c>
      <c r="C14" s="15" t="n">
        <v>1</v>
      </c>
      <c r="D14" s="15" t="n">
        <v>0</v>
      </c>
      <c r="E14" s="15" t="n">
        <v>1</v>
      </c>
      <c r="F14" s="17" t="n">
        <f aca="false">AVERAGE(C14:E14)</f>
        <v>0.666666666666667</v>
      </c>
      <c r="G14" s="15" t="n">
        <v>23</v>
      </c>
      <c r="H14" s="15" t="n">
        <v>23</v>
      </c>
      <c r="I14" s="15" t="n">
        <v>0</v>
      </c>
      <c r="J14" s="17" t="n">
        <f aca="false">AVERAGE(G14:I14)</f>
        <v>15.3333333333333</v>
      </c>
    </row>
    <row r="15" customFormat="false" ht="21.75" hidden="false" customHeight="true" outlineLevel="0" collapsed="false">
      <c r="A15" s="13" t="s">
        <v>32</v>
      </c>
      <c r="B15" s="13" t="s">
        <v>33</v>
      </c>
      <c r="C15" s="13" t="n">
        <v>0</v>
      </c>
      <c r="D15" s="13" t="n">
        <v>0</v>
      </c>
      <c r="E15" s="13" t="n">
        <v>0</v>
      </c>
      <c r="F15" s="20" t="n">
        <f aca="false">AVERAGE(C15:E15)</f>
        <v>0</v>
      </c>
      <c r="G15" s="13" t="n">
        <v>22</v>
      </c>
      <c r="H15" s="13" t="n">
        <v>23</v>
      </c>
      <c r="I15" s="13" t="n">
        <v>0</v>
      </c>
      <c r="J15" s="20" t="n">
        <f aca="false">AVERAGE(G15:I15)</f>
        <v>15</v>
      </c>
    </row>
    <row r="16" customFormat="false" ht="21.75" hidden="false" customHeight="true" outlineLevel="0" collapsed="false">
      <c r="A16" s="15" t="s">
        <v>46</v>
      </c>
      <c r="B16" s="15" t="s">
        <v>47</v>
      </c>
      <c r="C16" s="15" t="n">
        <v>0</v>
      </c>
      <c r="D16" s="15" t="n">
        <v>0</v>
      </c>
      <c r="E16" s="15" t="n">
        <v>0</v>
      </c>
      <c r="F16" s="17" t="n">
        <f aca="false">AVERAGE(C16:E16)</f>
        <v>0</v>
      </c>
      <c r="G16" s="15" t="n">
        <v>22</v>
      </c>
      <c r="H16" s="15" t="n">
        <v>0</v>
      </c>
      <c r="I16" s="15" t="n">
        <v>0</v>
      </c>
      <c r="J16" s="17" t="n">
        <f aca="false">AVERAGE(G16:I16)</f>
        <v>7.33333333333333</v>
      </c>
    </row>
    <row r="17" customFormat="false" ht="21.75" hidden="false" customHeight="true" outlineLevel="0" collapsed="false">
      <c r="A17" s="13" t="s">
        <v>57</v>
      </c>
      <c r="B17" s="13" t="s">
        <v>58</v>
      </c>
      <c r="C17" s="13" t="n">
        <v>0</v>
      </c>
      <c r="D17" s="13" t="n">
        <v>0</v>
      </c>
      <c r="E17" s="13" t="n">
        <v>0</v>
      </c>
      <c r="F17" s="20" t="n">
        <f aca="false">AVERAGE(C17:E17)</f>
        <v>0</v>
      </c>
      <c r="G17" s="13" t="n">
        <v>22</v>
      </c>
      <c r="H17" s="13" t="n">
        <v>0</v>
      </c>
      <c r="I17" s="13" t="n">
        <v>0</v>
      </c>
      <c r="J17" s="20" t="n">
        <f aca="false">AVERAGE(G17:I17)</f>
        <v>7.33333333333333</v>
      </c>
    </row>
    <row r="18" customFormat="false" ht="21.75" hidden="false" customHeight="true" outlineLevel="0" collapsed="false">
      <c r="A18" s="15" t="s">
        <v>68</v>
      </c>
      <c r="B18" s="15" t="s">
        <v>69</v>
      </c>
      <c r="C18" s="15" t="n">
        <v>0</v>
      </c>
      <c r="D18" s="15" t="n">
        <v>0</v>
      </c>
      <c r="E18" s="15" t="n">
        <v>0</v>
      </c>
      <c r="F18" s="17" t="n">
        <f aca="false">AVERAGE(C18:E18)</f>
        <v>0</v>
      </c>
      <c r="G18" s="15" t="n">
        <v>0</v>
      </c>
      <c r="H18" s="15" t="n">
        <v>0</v>
      </c>
      <c r="I18" s="15" t="n">
        <v>0</v>
      </c>
      <c r="J18" s="17" t="n">
        <f aca="false">AVERAGE(G18:I18)</f>
        <v>0</v>
      </c>
    </row>
    <row r="20" customFormat="false" ht="15" hidden="false" customHeight="true" outlineLevel="0" collapsed="false">
      <c r="A20" s="12" t="s">
        <v>96</v>
      </c>
      <c r="B20" s="12"/>
      <c r="C20" s="12"/>
      <c r="D20" s="12"/>
      <c r="E20" s="12"/>
      <c r="F20" s="12"/>
      <c r="G20" s="12"/>
      <c r="H20" s="12"/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1"/>
      <c r="G21" s="21"/>
      <c r="H21" s="21"/>
    </row>
    <row r="22" customFormat="false" ht="36" hidden="false" customHeight="true" outlineLevel="0" collapsed="false">
      <c r="A22" s="22" t="s">
        <v>32</v>
      </c>
      <c r="B22" s="23" t="s">
        <v>97</v>
      </c>
      <c r="C22" s="23"/>
      <c r="D22" s="23"/>
      <c r="E22" s="23" t="s">
        <v>98</v>
      </c>
      <c r="F22" s="23"/>
      <c r="G22" s="23"/>
      <c r="H22" s="23"/>
    </row>
    <row r="23" customFormat="false" ht="36" hidden="false" customHeight="true" outlineLevel="0" collapsed="false">
      <c r="A23" s="24" t="s">
        <v>46</v>
      </c>
      <c r="B23" s="25" t="s">
        <v>97</v>
      </c>
      <c r="C23" s="25"/>
      <c r="D23" s="25"/>
      <c r="E23" s="25" t="s">
        <v>99</v>
      </c>
      <c r="F23" s="25"/>
      <c r="G23" s="25"/>
      <c r="H23" s="25"/>
    </row>
    <row r="24" customFormat="false" ht="36" hidden="false" customHeight="true" outlineLevel="0" collapsed="false">
      <c r="A24" s="22" t="s">
        <v>57</v>
      </c>
      <c r="B24" s="23" t="s">
        <v>97</v>
      </c>
      <c r="C24" s="23"/>
      <c r="D24" s="23"/>
      <c r="E24" s="23" t="s">
        <v>100</v>
      </c>
      <c r="F24" s="23"/>
      <c r="G24" s="23"/>
      <c r="H24" s="23"/>
    </row>
    <row r="25" customFormat="false" ht="36" hidden="false" customHeight="true" outlineLevel="0" collapsed="false">
      <c r="A25" s="24" t="s">
        <v>101</v>
      </c>
      <c r="B25" s="25" t="s">
        <v>97</v>
      </c>
      <c r="C25" s="25"/>
      <c r="D25" s="25"/>
      <c r="E25" s="25" t="s">
        <v>102</v>
      </c>
      <c r="F25" s="25"/>
      <c r="G25" s="25"/>
      <c r="H25" s="25"/>
    </row>
    <row r="26" customFormat="false" ht="36" hidden="false" customHeight="true" outlineLevel="0" collapsed="false">
      <c r="A26" s="22" t="s">
        <v>16</v>
      </c>
      <c r="B26" s="23" t="s">
        <v>103</v>
      </c>
      <c r="C26" s="23"/>
      <c r="D26" s="23"/>
      <c r="E26" s="23" t="s">
        <v>104</v>
      </c>
      <c r="F26" s="23"/>
      <c r="G26" s="23"/>
      <c r="H26" s="23"/>
    </row>
    <row r="27" customFormat="false" ht="36" hidden="false" customHeight="true" outlineLevel="0" collapsed="false">
      <c r="A27" s="24" t="s">
        <v>105</v>
      </c>
      <c r="B27" s="25" t="s">
        <v>106</v>
      </c>
      <c r="C27" s="25"/>
      <c r="D27" s="25"/>
      <c r="E27" s="25" t="s">
        <v>107</v>
      </c>
      <c r="F27" s="25"/>
      <c r="G27" s="25"/>
      <c r="H27" s="25"/>
    </row>
  </sheetData>
  <mergeCells count="17">
    <mergeCell ref="A1:H1"/>
    <mergeCell ref="A3:H3"/>
    <mergeCell ref="A12:H12"/>
    <mergeCell ref="A20:H20"/>
    <mergeCell ref="A21:H21"/>
    <mergeCell ref="B22:D22"/>
    <mergeCell ref="E22:H22"/>
    <mergeCell ref="B23:D23"/>
    <mergeCell ref="E23:H23"/>
    <mergeCell ref="B24:D24"/>
    <mergeCell ref="E24:H24"/>
    <mergeCell ref="B25:D25"/>
    <mergeCell ref="E25:H25"/>
    <mergeCell ref="B26:D26"/>
    <mergeCell ref="E26:H26"/>
    <mergeCell ref="B27:D27"/>
    <mergeCell ref="E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1" t="s">
        <v>108</v>
      </c>
      <c r="B1" s="11"/>
      <c r="C1" s="11"/>
      <c r="D1" s="11"/>
      <c r="E1" s="11"/>
      <c r="F1" s="11"/>
    </row>
    <row r="3" customFormat="false" ht="27.75" hidden="false" customHeight="true" outlineLevel="0" collapsed="false">
      <c r="A3" s="3" t="s">
        <v>4</v>
      </c>
      <c r="B3" s="3" t="s">
        <v>5</v>
      </c>
      <c r="C3" s="3" t="s">
        <v>109</v>
      </c>
      <c r="D3" s="3" t="s">
        <v>110</v>
      </c>
      <c r="E3" s="3" t="s">
        <v>111</v>
      </c>
      <c r="F3" s="3" t="s">
        <v>112</v>
      </c>
    </row>
    <row r="4" customFormat="false" ht="36" hidden="false" customHeight="true" outlineLevel="0" collapsed="false">
      <c r="A4" s="15" t="s">
        <v>16</v>
      </c>
      <c r="B4" s="15" t="s">
        <v>17</v>
      </c>
      <c r="C4" s="15" t="s">
        <v>18</v>
      </c>
      <c r="D4" s="15" t="s">
        <v>18</v>
      </c>
      <c r="E4" s="5" t="s">
        <v>113</v>
      </c>
      <c r="F4" s="26" t="s">
        <v>114</v>
      </c>
    </row>
    <row r="5" customFormat="false" ht="36" hidden="false" customHeight="true" outlineLevel="0" collapsed="false">
      <c r="A5" s="13" t="s">
        <v>32</v>
      </c>
      <c r="B5" s="13" t="s">
        <v>33</v>
      </c>
      <c r="C5" s="9" t="s">
        <v>115</v>
      </c>
      <c r="D5" s="10" t="s">
        <v>116</v>
      </c>
      <c r="E5" s="10" t="s">
        <v>117</v>
      </c>
      <c r="F5" s="27" t="s">
        <v>118</v>
      </c>
    </row>
    <row r="6" customFormat="false" ht="36" hidden="false" customHeight="true" outlineLevel="0" collapsed="false">
      <c r="A6" s="15" t="s">
        <v>46</v>
      </c>
      <c r="B6" s="15" t="s">
        <v>47</v>
      </c>
      <c r="C6" s="9" t="s">
        <v>115</v>
      </c>
      <c r="D6" s="10" t="s">
        <v>116</v>
      </c>
      <c r="E6" s="10" t="s">
        <v>117</v>
      </c>
      <c r="F6" s="26" t="s">
        <v>119</v>
      </c>
    </row>
    <row r="7" customFormat="false" ht="36" hidden="false" customHeight="true" outlineLevel="0" collapsed="false">
      <c r="A7" s="13" t="s">
        <v>57</v>
      </c>
      <c r="B7" s="13" t="s">
        <v>58</v>
      </c>
      <c r="C7" s="9" t="s">
        <v>115</v>
      </c>
      <c r="D7" s="10" t="s">
        <v>116</v>
      </c>
      <c r="E7" s="10" t="s">
        <v>117</v>
      </c>
      <c r="F7" s="27" t="s">
        <v>120</v>
      </c>
    </row>
    <row r="8" customFormat="false" ht="36" hidden="false" customHeight="true" outlineLevel="0" collapsed="false">
      <c r="A8" s="15" t="s">
        <v>68</v>
      </c>
      <c r="B8" s="15" t="s">
        <v>69</v>
      </c>
      <c r="C8" s="9" t="s">
        <v>115</v>
      </c>
      <c r="D8" s="10" t="s">
        <v>116</v>
      </c>
      <c r="E8" s="10" t="s">
        <v>117</v>
      </c>
      <c r="F8" s="26" t="s">
        <v>121</v>
      </c>
    </row>
    <row r="9" customFormat="false" ht="27.75" hidden="false" customHeight="true" outlineLevel="0" collapsed="false">
      <c r="A9" s="28" t="s">
        <v>122</v>
      </c>
      <c r="B9" s="28"/>
      <c r="C9" s="28" t="s">
        <v>123</v>
      </c>
      <c r="D9" s="28" t="s">
        <v>124</v>
      </c>
      <c r="E9" s="28" t="s">
        <v>125</v>
      </c>
      <c r="F9" s="28" t="s">
        <v>126</v>
      </c>
    </row>
  </sheetData>
  <mergeCells count="2">
    <mergeCell ref="A1:F1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5"/>
    <col collapsed="false" customWidth="true" hidden="false" outlineLevel="0" max="5" min="5" style="0" width="28"/>
  </cols>
  <sheetData>
    <row r="1" customFormat="false" ht="27.75" hidden="false" customHeight="true" outlineLevel="0" collapsed="false">
      <c r="A1" s="11" t="s">
        <v>127</v>
      </c>
      <c r="B1" s="11"/>
      <c r="C1" s="11"/>
      <c r="D1" s="11"/>
      <c r="E1" s="11"/>
    </row>
    <row r="3" customFormat="false" ht="21.75" hidden="false" customHeight="true" outlineLevel="0" collapsed="false">
      <c r="A3" s="3" t="s">
        <v>128</v>
      </c>
      <c r="B3" s="3" t="s">
        <v>129</v>
      </c>
      <c r="C3" s="3" t="s">
        <v>130</v>
      </c>
      <c r="D3" s="3" t="s">
        <v>131</v>
      </c>
      <c r="E3" s="3" t="s">
        <v>132</v>
      </c>
    </row>
    <row r="4" customFormat="false" ht="31.5" hidden="false" customHeight="true" outlineLevel="0" collapsed="false">
      <c r="A4" s="22" t="s">
        <v>133</v>
      </c>
      <c r="B4" s="22" t="s">
        <v>134</v>
      </c>
      <c r="C4" s="29" t="s">
        <v>135</v>
      </c>
      <c r="D4" s="22" t="s">
        <v>136</v>
      </c>
      <c r="E4" s="22" t="s">
        <v>137</v>
      </c>
    </row>
    <row r="5" customFormat="false" ht="31.5" hidden="false" customHeight="true" outlineLevel="0" collapsed="false">
      <c r="A5" s="24" t="s">
        <v>138</v>
      </c>
      <c r="B5" s="24" t="s">
        <v>134</v>
      </c>
      <c r="C5" s="29" t="s">
        <v>135</v>
      </c>
      <c r="D5" s="24" t="s">
        <v>139</v>
      </c>
      <c r="E5" s="24" t="s">
        <v>140</v>
      </c>
    </row>
    <row r="6" customFormat="false" ht="31.5" hidden="false" customHeight="true" outlineLevel="0" collapsed="false">
      <c r="A6" s="22" t="s">
        <v>141</v>
      </c>
      <c r="B6" s="22" t="s">
        <v>142</v>
      </c>
      <c r="C6" s="29" t="s">
        <v>135</v>
      </c>
      <c r="D6" s="22" t="s">
        <v>143</v>
      </c>
      <c r="E6" s="22" t="s">
        <v>144</v>
      </c>
    </row>
    <row r="7" customFormat="false" ht="31.5" hidden="false" customHeight="true" outlineLevel="0" collapsed="false">
      <c r="A7" s="24" t="s">
        <v>145</v>
      </c>
      <c r="B7" s="24" t="s">
        <v>146</v>
      </c>
      <c r="C7" s="29" t="s">
        <v>135</v>
      </c>
      <c r="D7" s="24" t="s">
        <v>147</v>
      </c>
      <c r="E7" s="24" t="s">
        <v>148</v>
      </c>
    </row>
    <row r="8" customFormat="false" ht="31.5" hidden="false" customHeight="true" outlineLevel="0" collapsed="false">
      <c r="A8" s="22" t="s">
        <v>149</v>
      </c>
      <c r="B8" s="22" t="s">
        <v>150</v>
      </c>
      <c r="C8" s="29" t="s">
        <v>135</v>
      </c>
      <c r="D8" s="22" t="s">
        <v>151</v>
      </c>
      <c r="E8" s="22" t="s">
        <v>152</v>
      </c>
    </row>
    <row r="9" customFormat="false" ht="31.5" hidden="false" customHeight="true" outlineLevel="0" collapsed="false">
      <c r="A9" s="24" t="s">
        <v>153</v>
      </c>
      <c r="B9" s="24" t="s">
        <v>150</v>
      </c>
      <c r="C9" s="29" t="s">
        <v>135</v>
      </c>
      <c r="D9" s="24" t="s">
        <v>154</v>
      </c>
      <c r="E9" s="24" t="s">
        <v>155</v>
      </c>
    </row>
    <row r="10" customFormat="false" ht="31.5" hidden="false" customHeight="true" outlineLevel="0" collapsed="false">
      <c r="A10" s="22" t="s">
        <v>156</v>
      </c>
      <c r="B10" s="22" t="s">
        <v>150</v>
      </c>
      <c r="C10" s="29" t="s">
        <v>135</v>
      </c>
      <c r="D10" s="22" t="s">
        <v>157</v>
      </c>
      <c r="E10" s="22" t="s">
        <v>16</v>
      </c>
    </row>
    <row r="11" customFormat="false" ht="31.5" hidden="false" customHeight="true" outlineLevel="0" collapsed="false">
      <c r="A11" s="24" t="s">
        <v>158</v>
      </c>
      <c r="B11" s="24" t="s">
        <v>150</v>
      </c>
      <c r="C11" s="29" t="s">
        <v>135</v>
      </c>
      <c r="D11" s="24" t="s">
        <v>159</v>
      </c>
      <c r="E11" s="24" t="s">
        <v>57</v>
      </c>
    </row>
    <row r="12" customFormat="false" ht="31.5" hidden="false" customHeight="true" outlineLevel="0" collapsed="false">
      <c r="A12" s="22" t="s">
        <v>160</v>
      </c>
      <c r="B12" s="22" t="s">
        <v>142</v>
      </c>
      <c r="C12" s="29" t="s">
        <v>135</v>
      </c>
      <c r="D12" s="22" t="s">
        <v>161</v>
      </c>
      <c r="E12" s="22" t="s">
        <v>162</v>
      </c>
    </row>
    <row r="13" customFormat="false" ht="31.5" hidden="false" customHeight="true" outlineLevel="0" collapsed="false">
      <c r="A13" s="24" t="s">
        <v>163</v>
      </c>
      <c r="B13" s="24" t="s">
        <v>142</v>
      </c>
      <c r="C13" s="29" t="s">
        <v>135</v>
      </c>
      <c r="D13" s="24" t="s">
        <v>164</v>
      </c>
      <c r="E13" s="24" t="s">
        <v>165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2026-06-16T20:27:49Z</dcterms:created>
  <dc:creator>openpyxl</dc:creator>
  <dc:description/>
  <dc:language>en-US</dc:language>
  <cp:lastModifiedBy/>
  <dcterms:modified xsi:type="dcterms:W3CDTF">2026-06-16T20:27:49Z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